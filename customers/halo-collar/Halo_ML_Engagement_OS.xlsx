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&amp; Charter" sheetId="1" state="visible" r:id="rId3"/>
    <sheet name="Project Plan" sheetId="2" state="visible" r:id="rId4"/>
    <sheet name="RACI" sheetId="3" state="visible" r:id="rId5"/>
    <sheet name="Risks &amp; Blockers" sheetId="4" state="visible" r:id="rId6"/>
    <sheet name="Decisions Needed" sheetId="5" state="visible" r:id="rId7"/>
    <sheet name="Status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<sst xmlns="http://schemas.openxmlformats.org/spreadsheetml/2006/main" count="515" uniqueCount="333">
  <si>
    <t xml:space="preserve">Halo Collar ML — Engagement Operating System</t>
  </si>
  <si>
    <t xml:space="preserve">Halo × Edge Impulse × Softeq  |  Source of truth for plan, ownership, risks &amp; decisions  |  Snapshot: 23 Jun 2026</t>
  </si>
  <si>
    <t xml:space="preserve">Purpose</t>
  </si>
  <si>
    <t xml:space="preserve">Two on-device ML deliverables for the HALO 5 collar: (1) a GPS indoor/outdoor place-recognition model and (2) an Activity active/idle model. Lab accuracy is solved on both; the open work is field validation, two-model on-device integration, data coverage, and agreeing v1 goals. This workbook is the shared PM layer on top of the existing status tracker — use it to drive ownership and unblock progress.</t>
  </si>
  <si>
    <t xml:space="preserve">Parties &amp; team roster</t>
  </si>
  <si>
    <t xml:space="preserve">⚠ Confirm org mapping — inferred from the tracker; correct any cell highlighted yellow.</t>
  </si>
  <si>
    <t xml:space="preserve">Party</t>
  </si>
  <si>
    <t xml:space="preserve">Role in engagement</t>
  </si>
  <si>
    <t xml:space="preserve">Named team</t>
  </si>
  <si>
    <t xml:space="preserve">Halo</t>
  </si>
  <si>
    <t xml:space="preserve">Product owner / device &amp; firmware / decision authority</t>
  </si>
  <si>
    <t xml:space="preserve">Vitaly (lead/decisions), Chris (product/use-cases), Timour (technical), Eigor (firmware)</t>
  </si>
  <si>
    <t xml:space="preserve">Edge Impulse</t>
  </si>
  <si>
    <t xml:space="preserve">Platform + on-device enablement, SDK integration, validation methodology</t>
  </si>
  <si>
    <t xml:space="preserve">Patrick, Ashvin</t>
  </si>
  <si>
    <t xml:space="preserve">Softeq</t>
  </si>
  <si>
    <t xml:space="preserve">3rd-party ML consultancy — model development, features, data cleaning &amp; labeling</t>
  </si>
  <si>
    <t xml:space="preserve">Dinko (ML lead), Adrian (data/labeling)</t>
  </si>
  <si>
    <t xml:space="preserve">Targets (to validate, not contractual)</t>
  </si>
  <si>
    <t xml:space="preserve">Metric</t>
  </si>
  <si>
    <t xml:space="preserve">Current</t>
  </si>
  <si>
    <t xml:space="preserve">v1 / Phase 1 target</t>
  </si>
  <si>
    <t xml:space="preserve">Phase 2 target</t>
  </si>
  <si>
    <t xml:space="preserve">GPS — lab accuracy</t>
  </si>
  <si>
    <t xml:space="preserve">~94–95% (Done)</t>
  </si>
  <si>
    <t xml:space="preserve">Hold</t>
  </si>
  <si>
    <t xml:space="preserve">GPS — on-device accuracy</t>
  </si>
  <si>
    <t xml:space="preserve">~90% (manual)</t>
  </si>
  <si>
    <t xml:space="preserve">~95% objective</t>
  </si>
  <si>
    <t xml:space="preserve">Maintain in field</t>
  </si>
  <si>
    <t xml:space="preserve">Activity — lab accuracy</t>
  </si>
  <si>
    <t xml:space="preserve">~97.6% 8-class (Done)</t>
  </si>
  <si>
    <t xml:space="preserve">2-class deployed</t>
  </si>
  <si>
    <t xml:space="preserve">—</t>
  </si>
  <si>
    <t xml:space="preserve">Activity — on-device accuracy</t>
  </si>
  <si>
    <t xml:space="preserve">Not yet measured</t>
  </si>
  <si>
    <t xml:space="preserve">Objective baseline</t>
  </si>
  <si>
    <t xml:space="preserve">Improve iteratively</t>
  </si>
  <si>
    <t xml:space="preserve">Real-world (both)</t>
  </si>
  <si>
    <t xml:space="preserve">Below lab, unmeasured</t>
  </si>
  <si>
    <t xml:space="preserve">80–85%</t>
  </si>
  <si>
    <t xml:space="preserve">90%+</t>
  </si>
  <si>
    <t xml:space="preserve">Model footprint</t>
  </si>
  <si>
    <t xml:space="preserve">GPS ~20KB</t>
  </si>
  <si>
    <t xml:space="preserve">Within budget</t>
  </si>
  <si>
    <t xml:space="preserve">How to use this workbook</t>
  </si>
  <si>
    <t xml:space="preserve">Tab</t>
  </si>
  <si>
    <t xml:space="preserve">What it's for</t>
  </si>
  <si>
    <t xml:space="preserve">Project Plan</t>
  </si>
  <si>
    <t xml:space="preserve">The work breakdown: every open action with owner, dependency, priority and a target date driven by the Plan date cell below.</t>
  </si>
  <si>
    <t xml:space="preserve">RACI</t>
  </si>
  <si>
    <t xml:space="preserve">Who is Responsible / Accountable / Consulted / Informed across the three parties for each activity. Fixes the ownership ambiguity.</t>
  </si>
  <si>
    <t xml:space="preserve">Risks &amp; Blockers</t>
  </si>
  <si>
    <t xml:space="preserve">Live register of what's stopping progress, with severity, owner and mitigation.</t>
  </si>
  <si>
    <t xml:space="preserve">Decisions Needed</t>
  </si>
  <si>
    <t xml:space="preserve">Open questions that block work — mostly Halo business decisions. Resolve these to unstick the program.</t>
  </si>
  <si>
    <t xml:space="preserve">Status Dashboard</t>
  </si>
  <si>
    <t xml:space="preserve">Auto-rollup of plan status, risk severity and open decisions. Read this first in reviews.</t>
  </si>
  <si>
    <t xml:space="preserve">Plan date (drives target dates):</t>
  </si>
  <si>
    <t xml:space="preserve">Project Plan — Work Breakdown</t>
  </si>
  <si>
    <t xml:space="preserve">Open actions across both models + cross-cutting workstreams. Target date = Plan date + offset (days). Update Status as work moves.</t>
  </si>
  <si>
    <t xml:space="preserve">ID</t>
  </si>
  <si>
    <t xml:space="preserve">Workstream</t>
  </si>
  <si>
    <t xml:space="preserve">Phase</t>
  </si>
  <si>
    <t xml:space="preserve">Next action</t>
  </si>
  <si>
    <t xml:space="preserve">Status</t>
  </si>
  <si>
    <t xml:space="preserve">Accountable</t>
  </si>
  <si>
    <t xml:space="preserve">Lead</t>
  </si>
  <si>
    <t xml:space="preserve">Depends on</t>
  </si>
  <si>
    <t xml:space="preserve">Priority</t>
  </si>
  <si>
    <t xml:space="preserve">Offset(d)</t>
  </si>
  <si>
    <t xml:space="preserve">Target date</t>
  </si>
  <si>
    <t xml:space="preserve">Key risk / note</t>
  </si>
  <si>
    <t xml:space="preserve">C1</t>
  </si>
  <si>
    <t xml:space="preserve">Cross-cutting</t>
  </si>
  <si>
    <t xml:space="preserve">Goal &amp; criteria</t>
  </si>
  <si>
    <t xml:space="preserve">Confirm v1 goal, per-class business value &amp; success criteria with Halo</t>
  </si>
  <si>
    <t xml:space="preserve">Needs definition</t>
  </si>
  <si>
    <t xml:space="preserve">Vitaly</t>
  </si>
  <si>
    <t xml:space="preserve">NOW</t>
  </si>
  <si>
    <t xml:space="preserve">Scope &amp; success undefined until set</t>
  </si>
  <si>
    <t xml:space="preserve">C2</t>
  </si>
  <si>
    <t xml:space="preserve">Validation &amp; DoD</t>
  </si>
  <si>
    <t xml:space="preserve">Agree definition of 'done' + objective validation method (pilot video ground-truth)</t>
  </si>
  <si>
    <t xml:space="preserve">Patrick</t>
  </si>
  <si>
    <t xml:space="preserve">Progress can't be proven without it</t>
  </si>
  <si>
    <t xml:space="preserve">C3</t>
  </si>
  <si>
    <t xml:space="preserve">Two-model on device</t>
  </si>
  <si>
    <t xml:space="preserve">Merge branches; enable GPS + activity to run together on collar (resolve SDK limit)</t>
  </si>
  <si>
    <t xml:space="preserve">In progress</t>
  </si>
  <si>
    <t xml:space="preserve">Ashvin</t>
  </si>
  <si>
    <t xml:space="preserve">Firmware/SDK limit; Eigor needed</t>
  </si>
  <si>
    <t xml:space="preserve">C4</t>
  </si>
  <si>
    <t xml:space="preserve">Test harness</t>
  </si>
  <si>
    <t xml:space="preserve">Build repeatable on-device test method (same routes/time; labelled batches)</t>
  </si>
  <si>
    <t xml:space="preserve">NEXT</t>
  </si>
  <si>
    <t xml:space="preserve">No repeatable re-test today</t>
  </si>
  <si>
    <t xml:space="preserve">G1</t>
  </si>
  <si>
    <t xml:space="preserve">GPS model</t>
  </si>
  <si>
    <t xml:space="preserve">1 Data</t>
  </si>
  <si>
    <t xml:space="preserve">Collect representative US dataset (homes/window types); agree borderline labelling</t>
  </si>
  <si>
    <t xml:space="preserve">Adrian</t>
  </si>
  <si>
    <t xml:space="preserve">Thin varied-environment coverage</t>
  </si>
  <si>
    <t xml:space="preserve">G2</t>
  </si>
  <si>
    <t xml:space="preserve">2 Features</t>
  </si>
  <si>
    <t xml:space="preserve">Maintain ~50-feature set; retrain as new data arrives</t>
  </si>
  <si>
    <t xml:space="preserve">Done</t>
  </si>
  <si>
    <t xml:space="preserve">Dinko</t>
  </si>
  <si>
    <t xml:space="preserve">LATER</t>
  </si>
  <si>
    <t xml:space="preserve">G3</t>
  </si>
  <si>
    <t xml:space="preserve">3 Lab accuracy</t>
  </si>
  <si>
    <t xml:space="preserve">Hold ~94–95% lab; keep reporting in status</t>
  </si>
  <si>
    <t xml:space="preserve">G4</t>
  </si>
  <si>
    <t xml:space="preserve">4 Install (GPS)</t>
  </si>
  <si>
    <t xml:space="preserve">Handed to Edge Impulse for combined two-model build</t>
  </si>
  <si>
    <t xml:space="preserve">Softeq→EI</t>
  </si>
  <si>
    <t xml:space="preserve">G5</t>
  </si>
  <si>
    <t xml:space="preserve">6 On-device acc.</t>
  </si>
  <si>
    <t xml:space="preserve">Run labelled batches on collar for objective figure (~95% target)</t>
  </si>
  <si>
    <t xml:space="preserve">C3, C4</t>
  </si>
  <si>
    <t xml:space="preserve">Move from manual walk tests to batch</t>
  </si>
  <si>
    <t xml:space="preserve">G6</t>
  </si>
  <si>
    <t xml:space="preserve">7 Real-world</t>
  </si>
  <si>
    <t xml:space="preserve">Roll single GPS model to small group; measure w/ agreed method; add house-geofence backup</t>
  </si>
  <si>
    <t xml:space="preserve">Blocked</t>
  </si>
  <si>
    <t xml:space="preserve">Chris</t>
  </si>
  <si>
    <t xml:space="preserve">C2, G1</t>
  </si>
  <si>
    <t xml:space="preserve">Lab-to-field drop unmeasured</t>
  </si>
  <si>
    <t xml:space="preserve">A1</t>
  </si>
  <si>
    <t xml:space="preserve">Activity model</t>
  </si>
  <si>
    <t xml:space="preserve">Label toward ~20–40h (more dogs/orientations); finalise posture-vs-behavior taxonomy</t>
  </si>
  <si>
    <t xml:space="preserve">~7–10h of ~20–40h; narrow data</t>
  </si>
  <si>
    <t xml:space="preserve">A2</t>
  </si>
  <si>
    <t xml:space="preserve">Use orientation-robust features for v1; plan orientation normalisation</t>
  </si>
  <si>
    <t xml:space="preserve">Orientation-sensitive features deferred</t>
  </si>
  <si>
    <t xml:space="preserve">A3</t>
  </si>
  <si>
    <t xml:space="preserve">Present lab (~97.6% 8-class) vs field side-by-side to set expectations</t>
  </si>
  <si>
    <t xml:space="preserve">Lab figure overstates field</t>
  </si>
  <si>
    <t xml:space="preserve">A4</t>
  </si>
  <si>
    <t xml:space="preserve">4 Install (2-class)</t>
  </si>
  <si>
    <t xml:space="preserve">Edge Impulse enables 2-class active/idle model on collar for client trial</t>
  </si>
  <si>
    <t xml:space="preserve">Ready to deploy</t>
  </si>
  <si>
    <t xml:space="preserve">Awaiting on-device enable</t>
  </si>
  <si>
    <t xml:space="preserve">A5</t>
  </si>
  <si>
    <t xml:space="preserve">Replay labelled batches on collar for objective number (same method as GPS)</t>
  </si>
  <si>
    <t xml:space="preserve">Not started</t>
  </si>
  <si>
    <t xml:space="preserve">A4, C3, C4</t>
  </si>
  <si>
    <t xml:space="preserve">Not yet tested on device</t>
  </si>
  <si>
    <t xml:space="preserve">A6</t>
  </si>
  <si>
    <t xml:space="preserve">Deploy 2-class to user group; measure; compare rule-based vs model for v1</t>
  </si>
  <si>
    <t xml:space="preserve">C2, A1, A4</t>
  </si>
  <si>
    <t xml:space="preserve">Field below lab</t>
  </si>
  <si>
    <t xml:space="preserve">RACI — Roles &amp; Accountability</t>
  </si>
  <si>
    <t xml:space="preserve">R=Responsible (does the work) · A=Accountable (one owner, sign-off) · C=Consulted · I=Informed. ⚠ Proposed — confirm with the three parties.</t>
  </si>
  <si>
    <t xml:space="preserve">Activity</t>
  </si>
  <si>
    <t xml:space="preserve">Accountable lead</t>
  </si>
  <si>
    <t xml:space="preserve">Notes</t>
  </si>
  <si>
    <t xml:space="preserve">R1</t>
  </si>
  <si>
    <t xml:space="preserve">Define v1 goal &amp; success criteria</t>
  </si>
  <si>
    <t xml:space="preserve">A/R</t>
  </si>
  <si>
    <t xml:space="preserve">C</t>
  </si>
  <si>
    <t xml:space="preserve">Vitaly (Halo)</t>
  </si>
  <si>
    <t xml:space="preserve">Blocks everything downstream</t>
  </si>
  <si>
    <t xml:space="preserve">R2</t>
  </si>
  <si>
    <t xml:space="preserve">Define per-class business value / desired outcomes</t>
  </si>
  <si>
    <t xml:space="preserve">A</t>
  </si>
  <si>
    <t xml:space="preserve">Raised by Edge Impulse</t>
  </si>
  <si>
    <t xml:space="preserve">R3</t>
  </si>
  <si>
    <t xml:space="preserve">Data collection &amp; labeling campaigns</t>
  </si>
  <si>
    <t xml:space="preserve">I</t>
  </si>
  <si>
    <t xml:space="preserve">R</t>
  </si>
  <si>
    <t xml:space="preserve">Halo + Adrian (Softeq)</t>
  </si>
  <si>
    <t xml:space="preserve">Halo supplies users/devices; Softeq labels/cleans</t>
  </si>
  <si>
    <t xml:space="preserve">R4</t>
  </si>
  <si>
    <t xml:space="preserve">Feature engineering &amp; model development</t>
  </si>
  <si>
    <t xml:space="preserve">Dinko (Softeq)</t>
  </si>
  <si>
    <t xml:space="preserve">R5</t>
  </si>
  <si>
    <t xml:space="preserve">Lab accuracy validation</t>
  </si>
  <si>
    <t xml:space="preserve">Done on both models</t>
  </si>
  <si>
    <t xml:space="preserve">R6</t>
  </si>
  <si>
    <t xml:space="preserve">On-device model enablement (single model)</t>
  </si>
  <si>
    <t xml:space="preserve">Ashvin (Edge Impulse)</t>
  </si>
  <si>
    <t xml:space="preserve">Halo firmware (Eigor) consulted</t>
  </si>
  <si>
    <t xml:space="preserve">R7</t>
  </si>
  <si>
    <t xml:space="preserve">Two-model SDK integration</t>
  </si>
  <si>
    <t xml:space="preserve">Eigor to join Monday session</t>
  </si>
  <si>
    <t xml:space="preserve">R8</t>
  </si>
  <si>
    <t xml:space="preserve">On-device objective accuracy testing</t>
  </si>
  <si>
    <t xml:space="preserve">Edge Impulse + Dinko</t>
  </si>
  <si>
    <t xml:space="preserve">Batch-replay method</t>
  </si>
  <si>
    <t xml:space="preserve">R9</t>
  </si>
  <si>
    <t xml:space="preserve">Define validation method &amp; 'definition of done'</t>
  </si>
  <si>
    <t xml:space="preserve">Patrick (Edge Impulse)</t>
  </si>
  <si>
    <t xml:space="preserve">EI engaged for methodology; Halo approves DoD</t>
  </si>
  <si>
    <t xml:space="preserve">R10</t>
  </si>
  <si>
    <t xml:space="preserve">Field / real-world testing &amp; rollout</t>
  </si>
  <si>
    <t xml:space="preserve">Chris (Halo)</t>
  </si>
  <si>
    <t xml:space="preserve">Small user group first</t>
  </si>
  <si>
    <t xml:space="preserve">R11</t>
  </si>
  <si>
    <t xml:space="preserve">Repeatable test harness / procedure</t>
  </si>
  <si>
    <t xml:space="preserve">Fixed routes/time; productionise later</t>
  </si>
  <si>
    <t xml:space="preserve">R12</t>
  </si>
  <si>
    <t xml:space="preserve">Firmware changes on collar</t>
  </si>
  <si>
    <t xml:space="preserve">Eigor (Halo)</t>
  </si>
  <si>
    <t xml:space="preserve">Dependency for two-model build</t>
  </si>
  <si>
    <t xml:space="preserve">R13</t>
  </si>
  <si>
    <t xml:space="preserve">Program status reporting &amp; cadence</t>
  </si>
  <si>
    <t xml:space="preserve">Weekly sync + bi-weekly leadership</t>
  </si>
  <si>
    <t xml:space="preserve">Legend:  A/R = Accountable &amp; Responsible   ·   A = Accountable (sign-off)   ·   R = Responsible (does work)   ·   C = Consulted   ·   I = Informed</t>
  </si>
  <si>
    <t xml:space="preserve">Risk &amp; Blocker Register</t>
  </si>
  <si>
    <t xml:space="preserve">Impact &amp; Likelihood scored 1–3. Score = Impact × Likelihood. Rating auto-derives. Work the Critical/High open items first.</t>
  </si>
  <si>
    <t xml:space="preserve">Type</t>
  </si>
  <si>
    <t xml:space="preserve">Title</t>
  </si>
  <si>
    <t xml:space="preserve">Description</t>
  </si>
  <si>
    <t xml:space="preserve">Owner</t>
  </si>
  <si>
    <t xml:space="preserve">Impact</t>
  </si>
  <si>
    <t xml:space="preserve">Likelihood</t>
  </si>
  <si>
    <t xml:space="preserve">Score</t>
  </si>
  <si>
    <t xml:space="preserve">Rating</t>
  </si>
  <si>
    <t xml:space="preserve">Mitigation / next step</t>
  </si>
  <si>
    <t xml:space="preserve">K1</t>
  </si>
  <si>
    <t xml:space="preserve">Blocker</t>
  </si>
  <si>
    <t xml:space="preserve">Two models can't run on device together</t>
  </si>
  <si>
    <t xml:space="preserve">Firmware/SDK can't run GPS + activity simultaneously — blocks a combined v1</t>
  </si>
  <si>
    <t xml:space="preserve">Two-model</t>
  </si>
  <si>
    <t xml:space="preserve">Ashvin (EI)</t>
  </si>
  <si>
    <t xml:space="preserve">Open</t>
  </si>
  <si>
    <t xml:space="preserve">Merge branches; Monday SDK session w/ Eigor; evaluate parallel vs merged</t>
  </si>
  <si>
    <t xml:space="preserve">K2</t>
  </si>
  <si>
    <t xml:space="preserve">No validation method / definition of done</t>
  </si>
  <si>
    <t xml:space="preserve">Performance judged by reviewer impression; progress can't be measured</t>
  </si>
  <si>
    <t xml:space="preserve">Validation</t>
  </si>
  <si>
    <t xml:space="preserve">Patrick (EI) + Halo</t>
  </si>
  <si>
    <t xml:space="preserve">Agree DoD + objective method; pilot video ground-truth on small set</t>
  </si>
  <si>
    <t xml:space="preserve">K3</t>
  </si>
  <si>
    <t xml:space="preserve">Decision</t>
  </si>
  <si>
    <t xml:space="preserve">v1 goal &amp; per-class value unconfirmed</t>
  </si>
  <si>
    <t xml:space="preserve">Without desired outcomes per class, scope &amp; success are undefined</t>
  </si>
  <si>
    <t xml:space="preserve">Goal</t>
  </si>
  <si>
    <t xml:space="preserve">Halo confirms use cases, real-time vs accumulated, value per class</t>
  </si>
  <si>
    <t xml:space="preserve">K4</t>
  </si>
  <si>
    <t xml:space="preserve">Risk</t>
  </si>
  <si>
    <t xml:space="preserve">Activity data thin &amp; narrow</t>
  </si>
  <si>
    <t xml:space="preserve">~7–10h of ~20–40h target; few dogs/orientations; edge cases under-represented</t>
  </si>
  <si>
    <t xml:space="preserve">Activity data</t>
  </si>
  <si>
    <t xml:space="preserve">Adrian (Softeq) + Halo</t>
  </si>
  <si>
    <t xml:space="preserve">Label to target; more dogs/orientations; improve in-app labeling; small video calibration set</t>
  </si>
  <si>
    <t xml:space="preserve">K5</t>
  </si>
  <si>
    <t xml:space="preserve">GPS environment coverage thin</t>
  </si>
  <si>
    <t xml:space="preserve">US homes/window types/covered-outdoor under-represented; per-home variation</t>
  </si>
  <si>
    <t xml:space="preserve">GPS data</t>
  </si>
  <si>
    <t xml:space="preserve">Representative US collection; agree borderline labelling; house-geofence backup</t>
  </si>
  <si>
    <t xml:space="preserve">K6</t>
  </si>
  <si>
    <t xml:space="preserve">Lab-to-field accuracy drop unmeasured</t>
  </si>
  <si>
    <t xml:space="preserve">Field lower than lab but not objectively measured on either model</t>
  </si>
  <si>
    <t xml:space="preserve">Both</t>
  </si>
  <si>
    <t xml:space="preserve">Halo + Group</t>
  </si>
  <si>
    <t xml:space="preserve">Objective on-device + field measurement once method agreed</t>
  </si>
  <si>
    <t xml:space="preserve">K7</t>
  </si>
  <si>
    <t xml:space="preserve">No repeatable test environment</t>
  </si>
  <si>
    <t xml:space="preserve">Cannot re-test same locations/time to compare runs</t>
  </si>
  <si>
    <t xml:space="preserve">Patrick (EI)</t>
  </si>
  <si>
    <t xml:space="preserve">Build repeatable batch-replay harness; fixed routes</t>
  </si>
  <si>
    <t xml:space="preserve">K8</t>
  </si>
  <si>
    <t xml:space="preserve">Firmware dependency on Halo (Eigor)</t>
  </si>
  <si>
    <t xml:space="preserve">Two-model build &amp; firmware tweaks depend on Halo firmware availability</t>
  </si>
  <si>
    <t xml:space="preserve">Firmware</t>
  </si>
  <si>
    <t xml:space="preserve">Eigor joins Monday session; schedule firmware support windows</t>
  </si>
  <si>
    <t xml:space="preserve">K9</t>
  </si>
  <si>
    <t xml:space="preserve">Orientation-sensitive features</t>
  </si>
  <si>
    <t xml:space="preserve">Strong features depend on collar orientation — main lab-vs-field cause</t>
  </si>
  <si>
    <t xml:space="preserve">Mitigated (v1)</t>
  </si>
  <si>
    <t xml:space="preserve">v1 uses orientation-robust features; add orientation normalisation before multiclass</t>
  </si>
  <si>
    <t xml:space="preserve">Decisions Needed — Open Questions</t>
  </si>
  <si>
    <t xml:space="preserve">Mostly Halo business decisions that block the team. Resolving these is the fastest way to unstick the program.</t>
  </si>
  <si>
    <t xml:space="preserve">Decision / open question</t>
  </si>
  <si>
    <t xml:space="preserve">Why it matters (what it blocks)</t>
  </si>
  <si>
    <t xml:space="preserve">Decider</t>
  </si>
  <si>
    <t xml:space="preserve">Notes / options</t>
  </si>
  <si>
    <t xml:space="preserve">D1</t>
  </si>
  <si>
    <t xml:space="preserve">What is the v1 goal &amp; desired outcome for each class?</t>
  </si>
  <si>
    <t xml:space="preserve">Defines scope &amp; success; blocks validation and data targets</t>
  </si>
  <si>
    <t xml:space="preserve">Halo (Vitaly)</t>
  </si>
  <si>
    <t xml:space="preserve">Edge Impulse question: business value of each class</t>
  </si>
  <si>
    <t xml:space="preserve">D2</t>
  </si>
  <si>
    <t xml:space="preserve">Real-time status vs accumulated data per hour?</t>
  </si>
  <si>
    <t xml:space="preserve">Changes how the model is used and validated</t>
  </si>
  <si>
    <t xml:space="preserve">Raised by Dinko (both models)</t>
  </si>
  <si>
    <t xml:space="preserve">D3</t>
  </si>
  <si>
    <t xml:space="preserve">Formal definition of 'active' (activity model)</t>
  </si>
  <si>
    <t xml:space="preserve">No threshold or DoD possible without it</t>
  </si>
  <si>
    <t xml:space="preserve">Consider one tunable active/idle threshold</t>
  </si>
  <si>
    <t xml:space="preserve">D4</t>
  </si>
  <si>
    <t xml:space="preserve">Definition of 'done' + validation method</t>
  </si>
  <si>
    <t xml:space="preserve">Can't prove accuracy or progress objectively</t>
  </si>
  <si>
    <t xml:space="preserve">Edge Impulse + Halo</t>
  </si>
  <si>
    <t xml:space="preserve">Video ground-truth pilot; objective batch replay</t>
  </si>
  <si>
    <t xml:space="preserve">D5</t>
  </si>
  <si>
    <t xml:space="preserve">Two models: run in parallel vs merged single model?</t>
  </si>
  <si>
    <t xml:space="preserve">Determines the SDK integration approach</t>
  </si>
  <si>
    <t xml:space="preserve">EI + Halo firmware</t>
  </si>
  <si>
    <t xml:space="preserve">Timour: run in parallel, not merged</t>
  </si>
  <si>
    <t xml:space="preserve">D6</t>
  </si>
  <si>
    <t xml:space="preserve">Rule-based vs model approach for activity v1?</t>
  </si>
  <si>
    <t xml:space="preserve">A simpler v1 may meet the near-term need</t>
  </si>
  <si>
    <t xml:space="preserve">Group</t>
  </si>
  <si>
    <t xml:space="preserve">Chris: 8-class is more than current need</t>
  </si>
  <si>
    <t xml:space="preserve">D7</t>
  </si>
  <si>
    <t xml:space="preserve">Add GPS house-geofence / map backup in v1?</t>
  </si>
  <si>
    <t xml:space="preserve">High value — most use is 'in my own house'</t>
  </si>
  <si>
    <t xml:space="preserve">Backup check for near-window cases</t>
  </si>
  <si>
    <t xml:space="preserve">D8</t>
  </si>
  <si>
    <t xml:space="preserve">Scope of video ground-truth?</t>
  </si>
  <si>
    <t xml:space="preserve">Broad video capture is a heavy lift</t>
  </si>
  <si>
    <t xml:space="preserve">Scope to a small calibration set</t>
  </si>
  <si>
    <t xml:space="preserve">Auto-rollup from the other tabs. Read this first in reviews.  Snapshot driven by Plan date on the Charter tab.</t>
  </si>
  <si>
    <t xml:space="preserve">Action status (Project Plan)</t>
  </si>
  <si>
    <t xml:space="preserve">Count</t>
  </si>
  <si>
    <t xml:space="preserve">Total open (not Done)</t>
  </si>
  <si>
    <t xml:space="preserve">Risks &amp; blockers by rating</t>
  </si>
  <si>
    <t xml:space="preserve">Critical</t>
  </si>
  <si>
    <t xml:space="preserve">High</t>
  </si>
  <si>
    <t xml:space="preserve">Medium</t>
  </si>
  <si>
    <t xml:space="preserve">Low</t>
  </si>
  <si>
    <t xml:space="preserve">Open blockers</t>
  </si>
  <si>
    <t xml:space="preserve">Decisions needed</t>
  </si>
  <si>
    <t xml:space="preserve">Open decisions</t>
  </si>
  <si>
    <t xml:space="preserve">…of which NOW priority</t>
  </si>
  <si>
    <t xml:space="preserve">This week — NOW priorities</t>
  </si>
  <si>
    <t xml:space="preserve">1. Halo confirms v1 goal, per-class business value &amp; success criteria (D1, C1)</t>
  </si>
  <si>
    <t xml:space="preserve">2. Agree definition of 'done' + validation method (D4, C2)</t>
  </si>
  <si>
    <t xml:space="preserve">3. Edge Impulse enables 2-class activity model + merges two-model build (A4, C3)</t>
  </si>
  <si>
    <t xml:space="preserve">4. Decide parallel vs merged two-model approach — Eigor in Monday session (D5)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</si>
</sst>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b val="true"/>
      <sz val="12"/>
      <color rgb="FF1F3A4D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B4530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A4D"/>
        <bgColor rgb="FF333333"/>
      </patternFill>
    </fill>
    <fill>
      <patternFill patternType="solid">
        <fgColor rgb="FFEAF1F2"/>
        <bgColor rgb="FFF2F2F2"/>
      </patternFill>
    </fill>
    <fill>
      <patternFill patternType="solid">
        <fgColor rgb="FFFFF2CC"/>
        <bgColor rgb="FFFCE4B6"/>
      </patternFill>
    </fill>
    <fill>
      <patternFill patternType="solid">
        <fgColor rgb="FFFCE4B6"/>
        <bgColor rgb="FFFFE0B2"/>
      </patternFill>
    </fill>
    <fill>
      <patternFill patternType="solid">
        <fgColor rgb="FFC6EFCE"/>
        <bgColor rgb="FFD9F2D0"/>
      </patternFill>
    </fill>
    <fill>
      <patternFill patternType="solid">
        <fgColor rgb="FFF4CCCC"/>
        <bgColor rgb="FFFFE0B2"/>
      </patternFill>
    </fill>
    <fill>
      <patternFill patternType="solid">
        <fgColor rgb="FFD9F2D0"/>
        <bgColor rgb="FFC6EFCE"/>
      </patternFill>
    </fill>
    <fill>
      <patternFill patternType="solid">
        <fgColor rgb="FFE2E3E5"/>
        <bgColor rgb="FFDDEBF7"/>
      </patternFill>
    </fill>
    <fill>
      <patternFill patternType="solid">
        <fgColor rgb="FFF2F2F2"/>
        <bgColor rgb="FFEAF1F2"/>
      </patternFill>
    </fill>
    <fill>
      <patternFill patternType="solid">
        <fgColor rgb="FFDDEBF7"/>
        <bgColor rgb="FFEAF1F2"/>
      </patternFill>
    </fill>
    <fill>
      <patternFill patternType="solid">
        <fgColor rgb="FFFFFFFF"/>
        <bgColor rgb="FFF2F2F2"/>
      </patternFill>
    </fill>
    <fill>
      <patternFill patternType="solid">
        <fgColor rgb="FFFFE0B2"/>
        <bgColor rgb="FFFCE4B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0D5DD"/>
      </left>
      <right/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2"/>
      <rgbColor rgb="FFD9F2D0"/>
      <rgbColor rgb="FFFCE4B6"/>
      <rgbColor rgb="FFC6EFCE"/>
      <rgbColor rgb="FFF2F2F2"/>
      <rgbColor rgb="FFE2E3E5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4D"/>
      <rgbColor rgb="FF339966"/>
      <rgbColor rgb="FF003300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30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B4" s="3" t="s">
        <v>2</v>
      </c>
    </row>
    <row r="5" customFormat="false" ht="63.75" hidden="false" customHeight="true" outlineLevel="0" collapsed="false">
      <c r="B5" s="4" t="s">
        <v>3</v>
      </c>
      <c r="C5" s="4"/>
      <c r="D5" s="4"/>
      <c r="E5" s="4"/>
      <c r="F5" s="4"/>
    </row>
    <row r="7" customFormat="false" ht="15" hidden="false" customHeight="false" outlineLevel="0" collapsed="false">
      <c r="B7" s="3" t="s">
        <v>4</v>
      </c>
    </row>
    <row r="8" customFormat="false" ht="32.8" hidden="false" customHeight="false" outlineLevel="0" collapsed="false">
      <c r="B8" s="5" t="s">
        <v>5</v>
      </c>
    </row>
    <row r="9" customFormat="false" ht="30" hidden="false" customHeight="true" outlineLevel="0" collapsed="false">
      <c r="B9" s="6" t="s">
        <v>6</v>
      </c>
      <c r="C9" s="6" t="s">
        <v>7</v>
      </c>
      <c r="D9" s="6" t="s">
        <v>8</v>
      </c>
    </row>
    <row r="10" customFormat="false" ht="42" hidden="false" customHeight="true" outlineLevel="0" collapsed="false">
      <c r="B10" s="7" t="s">
        <v>9</v>
      </c>
      <c r="C10" s="8" t="s">
        <v>10</v>
      </c>
      <c r="D10" s="9" t="s">
        <v>11</v>
      </c>
    </row>
    <row r="11" customFormat="false" ht="42" hidden="false" customHeight="true" outlineLevel="0" collapsed="false">
      <c r="B11" s="7" t="s">
        <v>12</v>
      </c>
      <c r="C11" s="8" t="s">
        <v>13</v>
      </c>
      <c r="D11" s="9" t="s">
        <v>14</v>
      </c>
    </row>
    <row r="12" customFormat="false" ht="42" hidden="false" customHeight="true" outlineLevel="0" collapsed="false">
      <c r="B12" s="7" t="s">
        <v>15</v>
      </c>
      <c r="C12" s="8" t="s">
        <v>16</v>
      </c>
      <c r="D12" s="9" t="s">
        <v>17</v>
      </c>
    </row>
    <row r="14" customFormat="false" ht="26.85" hidden="false" customHeight="false" outlineLevel="0" collapsed="false">
      <c r="B14" s="3" t="s">
        <v>18</v>
      </c>
    </row>
    <row r="15" customFormat="false" ht="30" hidden="false" customHeight="true" outlineLevel="0" collapsed="false">
      <c r="B15" s="6" t="s">
        <v>19</v>
      </c>
      <c r="C15" s="6" t="s">
        <v>20</v>
      </c>
      <c r="D15" s="6" t="s">
        <v>21</v>
      </c>
      <c r="E15" s="6" t="s">
        <v>22</v>
      </c>
    </row>
    <row r="16" customFormat="false" ht="15" hidden="false" customHeight="false" outlineLevel="0" collapsed="false">
      <c r="B16" s="7" t="s">
        <v>23</v>
      </c>
      <c r="C16" s="8" t="s">
        <v>24</v>
      </c>
      <c r="D16" s="8" t="s">
        <v>25</v>
      </c>
      <c r="E16" s="8" t="s">
        <v>25</v>
      </c>
    </row>
    <row r="17" customFormat="false" ht="15" hidden="false" customHeight="false" outlineLevel="0" collapsed="false">
      <c r="B17" s="7" t="s">
        <v>26</v>
      </c>
      <c r="C17" s="8" t="s">
        <v>27</v>
      </c>
      <c r="D17" s="8" t="s">
        <v>28</v>
      </c>
      <c r="E17" s="8" t="s">
        <v>29</v>
      </c>
    </row>
    <row r="18" customFormat="false" ht="15" hidden="false" customHeight="false" outlineLevel="0" collapsed="false">
      <c r="B18" s="7" t="s">
        <v>30</v>
      </c>
      <c r="C18" s="8" t="s">
        <v>31</v>
      </c>
      <c r="D18" s="8" t="s">
        <v>32</v>
      </c>
      <c r="E18" s="8" t="s">
        <v>33</v>
      </c>
    </row>
    <row r="19" customFormat="false" ht="15" hidden="false" customHeight="false" outlineLevel="0" collapsed="false">
      <c r="B19" s="7" t="s">
        <v>34</v>
      </c>
      <c r="C19" s="8" t="s">
        <v>35</v>
      </c>
      <c r="D19" s="8" t="s">
        <v>36</v>
      </c>
      <c r="E19" s="8" t="s">
        <v>37</v>
      </c>
    </row>
    <row r="20" customFormat="false" ht="15" hidden="false" customHeight="false" outlineLevel="0" collapsed="false">
      <c r="B20" s="7" t="s">
        <v>38</v>
      </c>
      <c r="C20" s="8" t="s">
        <v>39</v>
      </c>
      <c r="D20" s="8" t="s">
        <v>40</v>
      </c>
      <c r="E20" s="8" t="s">
        <v>41</v>
      </c>
    </row>
    <row r="21" customFormat="false" ht="15" hidden="false" customHeight="false" outlineLevel="0" collapsed="false">
      <c r="B21" s="7" t="s">
        <v>42</v>
      </c>
      <c r="C21" s="8" t="s">
        <v>43</v>
      </c>
      <c r="D21" s="8" t="s">
        <v>44</v>
      </c>
      <c r="E21" s="8" t="s">
        <v>44</v>
      </c>
    </row>
    <row r="23" customFormat="false" ht="15" hidden="false" customHeight="false" outlineLevel="0" collapsed="false">
      <c r="B23" s="3" t="s">
        <v>45</v>
      </c>
    </row>
    <row r="24" customFormat="false" ht="30" hidden="false" customHeight="true" outlineLevel="0" collapsed="false">
      <c r="B24" s="6" t="s">
        <v>46</v>
      </c>
      <c r="C24" s="6" t="s">
        <v>47</v>
      </c>
    </row>
    <row r="25" customFormat="false" ht="23.85" hidden="false" customHeight="true" outlineLevel="0" collapsed="false">
      <c r="B25" s="7" t="s">
        <v>48</v>
      </c>
      <c r="C25" s="10" t="s">
        <v>49</v>
      </c>
      <c r="D25" s="10"/>
      <c r="E25" s="10"/>
      <c r="F25" s="10"/>
    </row>
    <row r="26" customFormat="false" ht="23.85" hidden="false" customHeight="true" outlineLevel="0" collapsed="false">
      <c r="B26" s="7" t="s">
        <v>50</v>
      </c>
      <c r="C26" s="10" t="s">
        <v>51</v>
      </c>
      <c r="D26" s="10"/>
      <c r="E26" s="10"/>
      <c r="F26" s="10"/>
    </row>
    <row r="27" customFormat="false" ht="15" hidden="false" customHeight="true" outlineLevel="0" collapsed="false">
      <c r="B27" s="7" t="s">
        <v>52</v>
      </c>
      <c r="C27" s="10" t="s">
        <v>53</v>
      </c>
      <c r="D27" s="10"/>
      <c r="E27" s="10"/>
      <c r="F27" s="10"/>
    </row>
    <row r="28" customFormat="false" ht="15" hidden="false" customHeight="true" outlineLevel="0" collapsed="false">
      <c r="B28" s="7" t="s">
        <v>54</v>
      </c>
      <c r="C28" s="10" t="s">
        <v>55</v>
      </c>
      <c r="D28" s="10"/>
      <c r="E28" s="10"/>
      <c r="F28" s="10"/>
    </row>
    <row r="29" customFormat="false" ht="15" hidden="false" customHeight="true" outlineLevel="0" collapsed="false">
      <c r="B29" s="7" t="s">
        <v>56</v>
      </c>
      <c r="C29" s="10" t="s">
        <v>57</v>
      </c>
      <c r="D29" s="10"/>
      <c r="E29" s="10"/>
      <c r="F29" s="10"/>
    </row>
    <row r="31" customFormat="false" ht="15" hidden="false" customHeight="false" outlineLevel="0" collapsed="false">
      <c r="B31" s="11" t="s">
        <v>58</v>
      </c>
      <c r="D31" s="12" t="n">
        <v>46196</v>
      </c>
    </row>
  </sheetData>
  <mergeCells count="8">
    <mergeCell ref="A1:F1"/>
    <mergeCell ref="A2:F2"/>
    <mergeCell ref="B5:F5"/>
    <mergeCell ref="C25:F25"/>
    <mergeCell ref="C26:F26"/>
    <mergeCell ref="C27:F27"/>
    <mergeCell ref="C28:F28"/>
    <mergeCell ref="C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40"/>
  </cols>
  <sheetData>
    <row r="1" customFormat="false" ht="33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6" t="s">
        <v>61</v>
      </c>
      <c r="B4" s="6" t="s">
        <v>62</v>
      </c>
      <c r="C4" s="6" t="s">
        <v>63</v>
      </c>
      <c r="D4" s="6" t="s">
        <v>64</v>
      </c>
      <c r="E4" s="6" t="s">
        <v>65</v>
      </c>
      <c r="F4" s="6" t="s">
        <v>66</v>
      </c>
      <c r="G4" s="6" t="s">
        <v>67</v>
      </c>
      <c r="H4" s="6" t="s">
        <v>68</v>
      </c>
      <c r="I4" s="6" t="s">
        <v>69</v>
      </c>
      <c r="J4" s="6" t="s">
        <v>70</v>
      </c>
      <c r="K4" s="6" t="s">
        <v>71</v>
      </c>
      <c r="L4" s="6" t="s">
        <v>72</v>
      </c>
    </row>
    <row r="5" customFormat="false" ht="39.75" hidden="false" customHeight="true" outlineLevel="0" collapsed="false">
      <c r="A5" s="13" t="s">
        <v>73</v>
      </c>
      <c r="B5" s="8" t="s">
        <v>74</v>
      </c>
      <c r="C5" s="8" t="s">
        <v>75</v>
      </c>
      <c r="D5" s="8" t="s">
        <v>76</v>
      </c>
      <c r="E5" s="14" t="s">
        <v>77</v>
      </c>
      <c r="F5" s="7" t="s">
        <v>9</v>
      </c>
      <c r="G5" s="8" t="s">
        <v>78</v>
      </c>
      <c r="H5" s="15" t="s">
        <v>33</v>
      </c>
      <c r="I5" s="13" t="s">
        <v>79</v>
      </c>
      <c r="J5" s="15" t="n">
        <v>11</v>
      </c>
      <c r="K5" s="16" t="n">
        <f aca="false">IF(J5&gt;0,'Read Me &amp; Charter'!$D$31+J5,"done")</f>
        <v>46207</v>
      </c>
      <c r="L5" s="8" t="s">
        <v>80</v>
      </c>
    </row>
    <row r="6" customFormat="false" ht="39.75" hidden="false" customHeight="true" outlineLevel="0" collapsed="false">
      <c r="A6" s="13" t="s">
        <v>81</v>
      </c>
      <c r="B6" s="8" t="s">
        <v>74</v>
      </c>
      <c r="C6" s="8" t="s">
        <v>82</v>
      </c>
      <c r="D6" s="8" t="s">
        <v>83</v>
      </c>
      <c r="E6" s="14" t="s">
        <v>77</v>
      </c>
      <c r="F6" s="7" t="s">
        <v>12</v>
      </c>
      <c r="G6" s="8" t="s">
        <v>84</v>
      </c>
      <c r="H6" s="15" t="s">
        <v>73</v>
      </c>
      <c r="I6" s="13" t="s">
        <v>79</v>
      </c>
      <c r="J6" s="15" t="n">
        <v>4</v>
      </c>
      <c r="K6" s="16" t="n">
        <f aca="false">IF(J6&gt;0,'Read Me &amp; Charter'!$D$31+J6,"done")</f>
        <v>46200</v>
      </c>
      <c r="L6" s="8" t="s">
        <v>85</v>
      </c>
    </row>
    <row r="7" customFormat="false" ht="39.75" hidden="false" customHeight="true" outlineLevel="0" collapsed="false">
      <c r="A7" s="13" t="s">
        <v>86</v>
      </c>
      <c r="B7" s="8" t="s">
        <v>74</v>
      </c>
      <c r="C7" s="8" t="s">
        <v>87</v>
      </c>
      <c r="D7" s="8" t="s">
        <v>88</v>
      </c>
      <c r="E7" s="17" t="s">
        <v>89</v>
      </c>
      <c r="F7" s="7" t="s">
        <v>12</v>
      </c>
      <c r="G7" s="8" t="s">
        <v>90</v>
      </c>
      <c r="H7" s="15" t="s">
        <v>33</v>
      </c>
      <c r="I7" s="13" t="s">
        <v>79</v>
      </c>
      <c r="J7" s="15" t="n">
        <v>11</v>
      </c>
      <c r="K7" s="16" t="n">
        <f aca="false">IF(J7&gt;0,'Read Me &amp; Charter'!$D$31+J7,"done")</f>
        <v>46207</v>
      </c>
      <c r="L7" s="8" t="s">
        <v>91</v>
      </c>
    </row>
    <row r="8" customFormat="false" ht="39.75" hidden="false" customHeight="true" outlineLevel="0" collapsed="false">
      <c r="A8" s="13" t="s">
        <v>92</v>
      </c>
      <c r="B8" s="8" t="s">
        <v>74</v>
      </c>
      <c r="C8" s="8" t="s">
        <v>93</v>
      </c>
      <c r="D8" s="8" t="s">
        <v>94</v>
      </c>
      <c r="E8" s="14" t="s">
        <v>77</v>
      </c>
      <c r="F8" s="7" t="s">
        <v>12</v>
      </c>
      <c r="G8" s="8" t="s">
        <v>84</v>
      </c>
      <c r="H8" s="15" t="s">
        <v>81</v>
      </c>
      <c r="I8" s="13" t="s">
        <v>95</v>
      </c>
      <c r="J8" s="15" t="n">
        <v>18</v>
      </c>
      <c r="K8" s="16" t="n">
        <f aca="false">IF(J8&gt;0,'Read Me &amp; Charter'!$D$31+J8,"done")</f>
        <v>46214</v>
      </c>
      <c r="L8" s="8" t="s">
        <v>96</v>
      </c>
    </row>
    <row r="9" customFormat="false" ht="39.75" hidden="false" customHeight="true" outlineLevel="0" collapsed="false">
      <c r="A9" s="13" t="s">
        <v>97</v>
      </c>
      <c r="B9" s="8" t="s">
        <v>98</v>
      </c>
      <c r="C9" s="8" t="s">
        <v>99</v>
      </c>
      <c r="D9" s="8" t="s">
        <v>100</v>
      </c>
      <c r="E9" s="17" t="s">
        <v>89</v>
      </c>
      <c r="F9" s="7" t="s">
        <v>15</v>
      </c>
      <c r="G9" s="8" t="s">
        <v>101</v>
      </c>
      <c r="H9" s="15" t="s">
        <v>33</v>
      </c>
      <c r="I9" s="13" t="s">
        <v>95</v>
      </c>
      <c r="J9" s="15" t="n">
        <v>30</v>
      </c>
      <c r="K9" s="16" t="n">
        <f aca="false">IF(J9&gt;0,'Read Me &amp; Charter'!$D$31+J9,"done")</f>
        <v>46226</v>
      </c>
      <c r="L9" s="8" t="s">
        <v>102</v>
      </c>
    </row>
    <row r="10" customFormat="false" ht="39.75" hidden="false" customHeight="true" outlineLevel="0" collapsed="false">
      <c r="A10" s="13" t="s">
        <v>103</v>
      </c>
      <c r="B10" s="8" t="s">
        <v>98</v>
      </c>
      <c r="C10" s="8" t="s">
        <v>104</v>
      </c>
      <c r="D10" s="8" t="s">
        <v>105</v>
      </c>
      <c r="E10" s="18" t="s">
        <v>106</v>
      </c>
      <c r="F10" s="7" t="s">
        <v>15</v>
      </c>
      <c r="G10" s="8" t="s">
        <v>107</v>
      </c>
      <c r="H10" s="15" t="s">
        <v>97</v>
      </c>
      <c r="I10" s="13" t="s">
        <v>108</v>
      </c>
      <c r="J10" s="15" t="n">
        <v>60</v>
      </c>
      <c r="K10" s="16" t="n">
        <f aca="false">IF(J10&gt;0,'Read Me &amp; Charter'!$D$31+J10,"done")</f>
        <v>46256</v>
      </c>
      <c r="L10" s="8" t="s">
        <v>33</v>
      </c>
    </row>
    <row r="11" customFormat="false" ht="39.75" hidden="false" customHeight="true" outlineLevel="0" collapsed="false">
      <c r="A11" s="13" t="s">
        <v>109</v>
      </c>
      <c r="B11" s="8" t="s">
        <v>98</v>
      </c>
      <c r="C11" s="8" t="s">
        <v>110</v>
      </c>
      <c r="D11" s="8" t="s">
        <v>111</v>
      </c>
      <c r="E11" s="18" t="s">
        <v>106</v>
      </c>
      <c r="F11" s="7" t="s">
        <v>15</v>
      </c>
      <c r="G11" s="8" t="s">
        <v>107</v>
      </c>
      <c r="H11" s="15" t="s">
        <v>33</v>
      </c>
      <c r="I11" s="13" t="s">
        <v>33</v>
      </c>
      <c r="J11" s="15" t="n">
        <v>0</v>
      </c>
      <c r="K11" s="16" t="str">
        <f aca="false">IF(J11&gt;0,'Read Me &amp; Charter'!$D$31+J11,"done")</f>
        <v>done</v>
      </c>
      <c r="L11" s="8" t="s">
        <v>33</v>
      </c>
    </row>
    <row r="12" customFormat="false" ht="39.75" hidden="false" customHeight="true" outlineLevel="0" collapsed="false">
      <c r="A12" s="13" t="s">
        <v>112</v>
      </c>
      <c r="B12" s="8" t="s">
        <v>98</v>
      </c>
      <c r="C12" s="8" t="s">
        <v>113</v>
      </c>
      <c r="D12" s="8" t="s">
        <v>114</v>
      </c>
      <c r="E12" s="18" t="s">
        <v>106</v>
      </c>
      <c r="F12" s="7" t="s">
        <v>115</v>
      </c>
      <c r="G12" s="8" t="s">
        <v>107</v>
      </c>
      <c r="H12" s="15" t="s">
        <v>33</v>
      </c>
      <c r="I12" s="13" t="s">
        <v>33</v>
      </c>
      <c r="J12" s="15" t="n">
        <v>0</v>
      </c>
      <c r="K12" s="16" t="str">
        <f aca="false">IF(J12&gt;0,'Read Me &amp; Charter'!$D$31+J12,"done")</f>
        <v>done</v>
      </c>
      <c r="L12" s="8" t="s">
        <v>33</v>
      </c>
    </row>
    <row r="13" customFormat="false" ht="39.75" hidden="false" customHeight="true" outlineLevel="0" collapsed="false">
      <c r="A13" s="13" t="s">
        <v>116</v>
      </c>
      <c r="B13" s="8" t="s">
        <v>98</v>
      </c>
      <c r="C13" s="8" t="s">
        <v>117</v>
      </c>
      <c r="D13" s="8" t="s">
        <v>118</v>
      </c>
      <c r="E13" s="17" t="s">
        <v>89</v>
      </c>
      <c r="F13" s="7" t="s">
        <v>12</v>
      </c>
      <c r="G13" s="8" t="s">
        <v>90</v>
      </c>
      <c r="H13" s="15" t="s">
        <v>119</v>
      </c>
      <c r="I13" s="13" t="s">
        <v>95</v>
      </c>
      <c r="J13" s="15" t="n">
        <v>14</v>
      </c>
      <c r="K13" s="16" t="n">
        <f aca="false">IF(J13&gt;0,'Read Me &amp; Charter'!$D$31+J13,"done")</f>
        <v>46210</v>
      </c>
      <c r="L13" s="8" t="s">
        <v>120</v>
      </c>
    </row>
    <row r="14" customFormat="false" ht="39.75" hidden="false" customHeight="true" outlineLevel="0" collapsed="false">
      <c r="A14" s="13" t="s">
        <v>121</v>
      </c>
      <c r="B14" s="8" t="s">
        <v>98</v>
      </c>
      <c r="C14" s="8" t="s">
        <v>122</v>
      </c>
      <c r="D14" s="8" t="s">
        <v>123</v>
      </c>
      <c r="E14" s="19" t="s">
        <v>124</v>
      </c>
      <c r="F14" s="7" t="s">
        <v>9</v>
      </c>
      <c r="G14" s="8" t="s">
        <v>125</v>
      </c>
      <c r="H14" s="15" t="s">
        <v>126</v>
      </c>
      <c r="I14" s="13" t="s">
        <v>95</v>
      </c>
      <c r="J14" s="15" t="n">
        <v>21</v>
      </c>
      <c r="K14" s="16" t="n">
        <f aca="false">IF(J14&gt;0,'Read Me &amp; Charter'!$D$31+J14,"done")</f>
        <v>46217</v>
      </c>
      <c r="L14" s="8" t="s">
        <v>127</v>
      </c>
    </row>
    <row r="15" customFormat="false" ht="39.75" hidden="false" customHeight="true" outlineLevel="0" collapsed="false">
      <c r="A15" s="13" t="s">
        <v>128</v>
      </c>
      <c r="B15" s="8" t="s">
        <v>129</v>
      </c>
      <c r="C15" s="8" t="s">
        <v>99</v>
      </c>
      <c r="D15" s="8" t="s">
        <v>130</v>
      </c>
      <c r="E15" s="17" t="s">
        <v>89</v>
      </c>
      <c r="F15" s="7" t="s">
        <v>15</v>
      </c>
      <c r="G15" s="8" t="s">
        <v>101</v>
      </c>
      <c r="H15" s="15" t="s">
        <v>73</v>
      </c>
      <c r="I15" s="13" t="s">
        <v>95</v>
      </c>
      <c r="J15" s="15" t="n">
        <v>30</v>
      </c>
      <c r="K15" s="16" t="n">
        <f aca="false">IF(J15&gt;0,'Read Me &amp; Charter'!$D$31+J15,"done")</f>
        <v>46226</v>
      </c>
      <c r="L15" s="8" t="s">
        <v>131</v>
      </c>
    </row>
    <row r="16" customFormat="false" ht="39.75" hidden="false" customHeight="true" outlineLevel="0" collapsed="false">
      <c r="A16" s="13" t="s">
        <v>132</v>
      </c>
      <c r="B16" s="8" t="s">
        <v>129</v>
      </c>
      <c r="C16" s="8" t="s">
        <v>104</v>
      </c>
      <c r="D16" s="8" t="s">
        <v>133</v>
      </c>
      <c r="E16" s="18" t="s">
        <v>106</v>
      </c>
      <c r="F16" s="7" t="s">
        <v>15</v>
      </c>
      <c r="G16" s="8" t="s">
        <v>107</v>
      </c>
      <c r="H16" s="15" t="s">
        <v>33</v>
      </c>
      <c r="I16" s="13" t="s">
        <v>108</v>
      </c>
      <c r="J16" s="15" t="n">
        <v>60</v>
      </c>
      <c r="K16" s="16" t="n">
        <f aca="false">IF(J16&gt;0,'Read Me &amp; Charter'!$D$31+J16,"done")</f>
        <v>46256</v>
      </c>
      <c r="L16" s="8" t="s">
        <v>134</v>
      </c>
    </row>
    <row r="17" customFormat="false" ht="39.75" hidden="false" customHeight="true" outlineLevel="0" collapsed="false">
      <c r="A17" s="13" t="s">
        <v>135</v>
      </c>
      <c r="B17" s="8" t="s">
        <v>129</v>
      </c>
      <c r="C17" s="8" t="s">
        <v>110</v>
      </c>
      <c r="D17" s="8" t="s">
        <v>136</v>
      </c>
      <c r="E17" s="18" t="s">
        <v>106</v>
      </c>
      <c r="F17" s="7" t="s">
        <v>15</v>
      </c>
      <c r="G17" s="8" t="s">
        <v>107</v>
      </c>
      <c r="H17" s="15" t="s">
        <v>33</v>
      </c>
      <c r="I17" s="13" t="s">
        <v>33</v>
      </c>
      <c r="J17" s="15" t="n">
        <v>0</v>
      </c>
      <c r="K17" s="16" t="str">
        <f aca="false">IF(J17&gt;0,'Read Me &amp; Charter'!$D$31+J17,"done")</f>
        <v>done</v>
      </c>
      <c r="L17" s="8" t="s">
        <v>137</v>
      </c>
    </row>
    <row r="18" customFormat="false" ht="39.75" hidden="false" customHeight="true" outlineLevel="0" collapsed="false">
      <c r="A18" s="13" t="s">
        <v>138</v>
      </c>
      <c r="B18" s="8" t="s">
        <v>129</v>
      </c>
      <c r="C18" s="8" t="s">
        <v>139</v>
      </c>
      <c r="D18" s="8" t="s">
        <v>140</v>
      </c>
      <c r="E18" s="20" t="s">
        <v>141</v>
      </c>
      <c r="F18" s="7" t="s">
        <v>12</v>
      </c>
      <c r="G18" s="8" t="s">
        <v>90</v>
      </c>
      <c r="H18" s="15" t="s">
        <v>33</v>
      </c>
      <c r="I18" s="13" t="s">
        <v>79</v>
      </c>
      <c r="J18" s="15" t="n">
        <v>11</v>
      </c>
      <c r="K18" s="16" t="n">
        <f aca="false">IF(J18&gt;0,'Read Me &amp; Charter'!$D$31+J18,"done")</f>
        <v>46207</v>
      </c>
      <c r="L18" s="8" t="s">
        <v>142</v>
      </c>
    </row>
    <row r="19" customFormat="false" ht="39.75" hidden="false" customHeight="true" outlineLevel="0" collapsed="false">
      <c r="A19" s="13" t="s">
        <v>143</v>
      </c>
      <c r="B19" s="8" t="s">
        <v>129</v>
      </c>
      <c r="C19" s="8" t="s">
        <v>117</v>
      </c>
      <c r="D19" s="8" t="s">
        <v>144</v>
      </c>
      <c r="E19" s="21" t="s">
        <v>145</v>
      </c>
      <c r="F19" s="7" t="s">
        <v>12</v>
      </c>
      <c r="G19" s="8" t="s">
        <v>90</v>
      </c>
      <c r="H19" s="15" t="s">
        <v>146</v>
      </c>
      <c r="I19" s="13" t="s">
        <v>95</v>
      </c>
      <c r="J19" s="15" t="n">
        <v>21</v>
      </c>
      <c r="K19" s="16" t="n">
        <f aca="false">IF(J19&gt;0,'Read Me &amp; Charter'!$D$31+J19,"done")</f>
        <v>46217</v>
      </c>
      <c r="L19" s="8" t="s">
        <v>147</v>
      </c>
    </row>
    <row r="20" customFormat="false" ht="39.75" hidden="false" customHeight="true" outlineLevel="0" collapsed="false">
      <c r="A20" s="13" t="s">
        <v>148</v>
      </c>
      <c r="B20" s="8" t="s">
        <v>129</v>
      </c>
      <c r="C20" s="8" t="s">
        <v>122</v>
      </c>
      <c r="D20" s="8" t="s">
        <v>149</v>
      </c>
      <c r="E20" s="19" t="s">
        <v>124</v>
      </c>
      <c r="F20" s="7" t="s">
        <v>9</v>
      </c>
      <c r="G20" s="8" t="s">
        <v>125</v>
      </c>
      <c r="H20" s="15" t="s">
        <v>150</v>
      </c>
      <c r="I20" s="13" t="s">
        <v>95</v>
      </c>
      <c r="J20" s="15" t="n">
        <v>28</v>
      </c>
      <c r="K20" s="16" t="n">
        <f aca="false">IF(J20&gt;0,'Read Me &amp; Charter'!$D$31+J20,"done")</f>
        <v>46224</v>
      </c>
      <c r="L20" s="8" t="s">
        <v>151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34"/>
  </cols>
  <sheetData>
    <row r="1" customFormat="false" ht="33.75" hidden="false" customHeight="true" outlineLevel="0" collapsed="false">
      <c r="A1" s="1" t="s">
        <v>152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153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6" t="s">
        <v>61</v>
      </c>
      <c r="B4" s="6" t="s">
        <v>154</v>
      </c>
      <c r="C4" s="6" t="s">
        <v>9</v>
      </c>
      <c r="D4" s="6" t="s">
        <v>12</v>
      </c>
      <c r="E4" s="6" t="s">
        <v>15</v>
      </c>
      <c r="F4" s="6" t="s">
        <v>155</v>
      </c>
      <c r="G4" s="6" t="s">
        <v>156</v>
      </c>
    </row>
    <row r="5" customFormat="false" ht="30" hidden="false" customHeight="true" outlineLevel="0" collapsed="false">
      <c r="A5" s="13" t="s">
        <v>157</v>
      </c>
      <c r="B5" s="7" t="s">
        <v>158</v>
      </c>
      <c r="C5" s="22" t="s">
        <v>159</v>
      </c>
      <c r="D5" s="23" t="s">
        <v>160</v>
      </c>
      <c r="E5" s="23" t="s">
        <v>160</v>
      </c>
      <c r="F5" s="8" t="s">
        <v>161</v>
      </c>
      <c r="G5" s="8" t="s">
        <v>162</v>
      </c>
    </row>
    <row r="6" customFormat="false" ht="30" hidden="false" customHeight="true" outlineLevel="0" collapsed="false">
      <c r="A6" s="13" t="s">
        <v>163</v>
      </c>
      <c r="B6" s="7" t="s">
        <v>164</v>
      </c>
      <c r="C6" s="24" t="s">
        <v>165</v>
      </c>
      <c r="D6" s="23" t="s">
        <v>160</v>
      </c>
      <c r="E6" s="23" t="s">
        <v>160</v>
      </c>
      <c r="F6" s="8" t="s">
        <v>9</v>
      </c>
      <c r="G6" s="8" t="s">
        <v>166</v>
      </c>
    </row>
    <row r="7" customFormat="false" ht="30" hidden="false" customHeight="true" outlineLevel="0" collapsed="false">
      <c r="A7" s="13" t="s">
        <v>167</v>
      </c>
      <c r="B7" s="7" t="s">
        <v>168</v>
      </c>
      <c r="C7" s="24" t="s">
        <v>165</v>
      </c>
      <c r="D7" s="25" t="s">
        <v>169</v>
      </c>
      <c r="E7" s="26" t="s">
        <v>170</v>
      </c>
      <c r="F7" s="8" t="s">
        <v>171</v>
      </c>
      <c r="G7" s="8" t="s">
        <v>172</v>
      </c>
    </row>
    <row r="8" customFormat="false" ht="30" hidden="false" customHeight="true" outlineLevel="0" collapsed="false">
      <c r="A8" s="13" t="s">
        <v>173</v>
      </c>
      <c r="B8" s="7" t="s">
        <v>174</v>
      </c>
      <c r="C8" s="25" t="s">
        <v>169</v>
      </c>
      <c r="D8" s="23" t="s">
        <v>160</v>
      </c>
      <c r="E8" s="22" t="s">
        <v>159</v>
      </c>
      <c r="F8" s="8" t="s">
        <v>175</v>
      </c>
      <c r="G8" s="8" t="s">
        <v>33</v>
      </c>
    </row>
    <row r="9" customFormat="false" ht="30" hidden="false" customHeight="true" outlineLevel="0" collapsed="false">
      <c r="A9" s="13" t="s">
        <v>176</v>
      </c>
      <c r="B9" s="7" t="s">
        <v>177</v>
      </c>
      <c r="C9" s="25" t="s">
        <v>169</v>
      </c>
      <c r="D9" s="23" t="s">
        <v>160</v>
      </c>
      <c r="E9" s="22" t="s">
        <v>159</v>
      </c>
      <c r="F9" s="8" t="s">
        <v>175</v>
      </c>
      <c r="G9" s="8" t="s">
        <v>178</v>
      </c>
    </row>
    <row r="10" customFormat="false" ht="30" hidden="false" customHeight="true" outlineLevel="0" collapsed="false">
      <c r="A10" s="13" t="s">
        <v>179</v>
      </c>
      <c r="B10" s="7" t="s">
        <v>180</v>
      </c>
      <c r="C10" s="23" t="s">
        <v>160</v>
      </c>
      <c r="D10" s="22" t="s">
        <v>159</v>
      </c>
      <c r="E10" s="23" t="s">
        <v>160</v>
      </c>
      <c r="F10" s="8" t="s">
        <v>181</v>
      </c>
      <c r="G10" s="8" t="s">
        <v>182</v>
      </c>
    </row>
    <row r="11" customFormat="false" ht="30" hidden="false" customHeight="true" outlineLevel="0" collapsed="false">
      <c r="A11" s="13" t="s">
        <v>183</v>
      </c>
      <c r="B11" s="7" t="s">
        <v>184</v>
      </c>
      <c r="C11" s="23" t="s">
        <v>160</v>
      </c>
      <c r="D11" s="22" t="s">
        <v>159</v>
      </c>
      <c r="E11" s="23" t="s">
        <v>160</v>
      </c>
      <c r="F11" s="8" t="s">
        <v>181</v>
      </c>
      <c r="G11" s="8" t="s">
        <v>185</v>
      </c>
    </row>
    <row r="12" customFormat="false" ht="30" hidden="false" customHeight="true" outlineLevel="0" collapsed="false">
      <c r="A12" s="13" t="s">
        <v>186</v>
      </c>
      <c r="B12" s="7" t="s">
        <v>187</v>
      </c>
      <c r="C12" s="25" t="s">
        <v>169</v>
      </c>
      <c r="D12" s="24" t="s">
        <v>165</v>
      </c>
      <c r="E12" s="26" t="s">
        <v>170</v>
      </c>
      <c r="F12" s="8" t="s">
        <v>188</v>
      </c>
      <c r="G12" s="8" t="s">
        <v>189</v>
      </c>
    </row>
    <row r="13" customFormat="false" ht="30" hidden="false" customHeight="true" outlineLevel="0" collapsed="false">
      <c r="A13" s="13" t="s">
        <v>190</v>
      </c>
      <c r="B13" s="7" t="s">
        <v>191</v>
      </c>
      <c r="C13" s="23" t="s">
        <v>160</v>
      </c>
      <c r="D13" s="22" t="s">
        <v>159</v>
      </c>
      <c r="E13" s="23" t="s">
        <v>160</v>
      </c>
      <c r="F13" s="8" t="s">
        <v>192</v>
      </c>
      <c r="G13" s="8" t="s">
        <v>193</v>
      </c>
    </row>
    <row r="14" customFormat="false" ht="30" hidden="false" customHeight="true" outlineLevel="0" collapsed="false">
      <c r="A14" s="13" t="s">
        <v>194</v>
      </c>
      <c r="B14" s="7" t="s">
        <v>195</v>
      </c>
      <c r="C14" s="22" t="s">
        <v>159</v>
      </c>
      <c r="D14" s="23" t="s">
        <v>160</v>
      </c>
      <c r="E14" s="23" t="s">
        <v>160</v>
      </c>
      <c r="F14" s="8" t="s">
        <v>196</v>
      </c>
      <c r="G14" s="8" t="s">
        <v>197</v>
      </c>
    </row>
    <row r="15" customFormat="false" ht="30" hidden="false" customHeight="true" outlineLevel="0" collapsed="false">
      <c r="A15" s="13" t="s">
        <v>198</v>
      </c>
      <c r="B15" s="7" t="s">
        <v>199</v>
      </c>
      <c r="C15" s="23" t="s">
        <v>160</v>
      </c>
      <c r="D15" s="22" t="s">
        <v>159</v>
      </c>
      <c r="E15" s="26" t="s">
        <v>170</v>
      </c>
      <c r="F15" s="8" t="s">
        <v>12</v>
      </c>
      <c r="G15" s="8" t="s">
        <v>200</v>
      </c>
    </row>
    <row r="16" customFormat="false" ht="30" hidden="false" customHeight="true" outlineLevel="0" collapsed="false">
      <c r="A16" s="13" t="s">
        <v>201</v>
      </c>
      <c r="B16" s="7" t="s">
        <v>202</v>
      </c>
      <c r="C16" s="22" t="s">
        <v>159</v>
      </c>
      <c r="D16" s="23" t="s">
        <v>160</v>
      </c>
      <c r="E16" s="25" t="s">
        <v>169</v>
      </c>
      <c r="F16" s="8" t="s">
        <v>203</v>
      </c>
      <c r="G16" s="8" t="s">
        <v>204</v>
      </c>
    </row>
    <row r="17" customFormat="false" ht="30" hidden="false" customHeight="true" outlineLevel="0" collapsed="false">
      <c r="A17" s="13" t="s">
        <v>205</v>
      </c>
      <c r="B17" s="7" t="s">
        <v>206</v>
      </c>
      <c r="C17" s="23" t="s">
        <v>160</v>
      </c>
      <c r="D17" s="22" t="s">
        <v>159</v>
      </c>
      <c r="E17" s="23" t="s">
        <v>160</v>
      </c>
      <c r="F17" s="8" t="s">
        <v>192</v>
      </c>
      <c r="G17" s="8" t="s">
        <v>207</v>
      </c>
    </row>
    <row r="19" customFormat="false" ht="32.8" hidden="false" customHeight="false" outlineLevel="0" collapsed="false">
      <c r="B19" s="27" t="s">
        <v>208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1" min="10" style="0" width="12"/>
    <col collapsed="false" customWidth="true" hidden="false" outlineLevel="0" max="12" min="12" style="0" width="40"/>
  </cols>
  <sheetData>
    <row r="1" customFormat="false" ht="33.75" hidden="false" customHeight="true" outlineLevel="0" collapsed="false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210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6" t="s">
        <v>61</v>
      </c>
      <c r="B4" s="6" t="s">
        <v>211</v>
      </c>
      <c r="C4" s="6" t="s">
        <v>212</v>
      </c>
      <c r="D4" s="6" t="s">
        <v>213</v>
      </c>
      <c r="E4" s="6" t="s">
        <v>62</v>
      </c>
      <c r="F4" s="6" t="s">
        <v>214</v>
      </c>
      <c r="G4" s="6" t="s">
        <v>215</v>
      </c>
      <c r="H4" s="6" t="s">
        <v>216</v>
      </c>
      <c r="I4" s="6" t="s">
        <v>217</v>
      </c>
      <c r="J4" s="6" t="s">
        <v>218</v>
      </c>
      <c r="K4" s="6" t="s">
        <v>65</v>
      </c>
      <c r="L4" s="6" t="s">
        <v>219</v>
      </c>
    </row>
    <row r="5" customFormat="false" ht="45.75" hidden="false" customHeight="true" outlineLevel="0" collapsed="false">
      <c r="A5" s="13" t="s">
        <v>220</v>
      </c>
      <c r="B5" s="28" t="s">
        <v>221</v>
      </c>
      <c r="C5" s="7" t="s">
        <v>222</v>
      </c>
      <c r="D5" s="8" t="s">
        <v>223</v>
      </c>
      <c r="E5" s="8" t="s">
        <v>224</v>
      </c>
      <c r="F5" s="8" t="s">
        <v>225</v>
      </c>
      <c r="G5" s="15" t="n">
        <v>3</v>
      </c>
      <c r="H5" s="15" t="n">
        <v>3</v>
      </c>
      <c r="I5" s="13" t="n">
        <f aca="false">G5*H5</f>
        <v>9</v>
      </c>
      <c r="J5" s="13" t="str">
        <f aca="false">IF(I5&gt;=6,"Critical",IF(I5&gt;=4,"High",IF(I5&gt;=2,"Medium","Low")))</f>
        <v>Critical</v>
      </c>
      <c r="K5" s="15" t="s">
        <v>226</v>
      </c>
      <c r="L5" s="8" t="s">
        <v>227</v>
      </c>
    </row>
    <row r="6" customFormat="false" ht="45.75" hidden="false" customHeight="true" outlineLevel="0" collapsed="false">
      <c r="A6" s="13" t="s">
        <v>228</v>
      </c>
      <c r="B6" s="28" t="s">
        <v>221</v>
      </c>
      <c r="C6" s="7" t="s">
        <v>229</v>
      </c>
      <c r="D6" s="8" t="s">
        <v>230</v>
      </c>
      <c r="E6" s="8" t="s">
        <v>231</v>
      </c>
      <c r="F6" s="8" t="s">
        <v>232</v>
      </c>
      <c r="G6" s="15" t="n">
        <v>3</v>
      </c>
      <c r="H6" s="15" t="n">
        <v>3</v>
      </c>
      <c r="I6" s="13" t="n">
        <f aca="false">G6*H6</f>
        <v>9</v>
      </c>
      <c r="J6" s="13" t="str">
        <f aca="false">IF(I6&gt;=6,"Critical",IF(I6&gt;=4,"High",IF(I6&gt;=2,"Medium","Low")))</f>
        <v>Critical</v>
      </c>
      <c r="K6" s="15" t="s">
        <v>226</v>
      </c>
      <c r="L6" s="8" t="s">
        <v>233</v>
      </c>
    </row>
    <row r="7" customFormat="false" ht="45.75" hidden="false" customHeight="true" outlineLevel="0" collapsed="false">
      <c r="A7" s="13" t="s">
        <v>234</v>
      </c>
      <c r="B7" s="23" t="s">
        <v>235</v>
      </c>
      <c r="C7" s="7" t="s">
        <v>236</v>
      </c>
      <c r="D7" s="8" t="s">
        <v>237</v>
      </c>
      <c r="E7" s="8" t="s">
        <v>238</v>
      </c>
      <c r="F7" s="8" t="s">
        <v>161</v>
      </c>
      <c r="G7" s="15" t="n">
        <v>3</v>
      </c>
      <c r="H7" s="15" t="n">
        <v>3</v>
      </c>
      <c r="I7" s="13" t="n">
        <f aca="false">G7*H7</f>
        <v>9</v>
      </c>
      <c r="J7" s="13" t="str">
        <f aca="false">IF(I7&gt;=6,"Critical",IF(I7&gt;=4,"High",IF(I7&gt;=2,"Medium","Low")))</f>
        <v>Critical</v>
      </c>
      <c r="K7" s="15" t="s">
        <v>226</v>
      </c>
      <c r="L7" s="8" t="s">
        <v>239</v>
      </c>
    </row>
    <row r="8" customFormat="false" ht="45.75" hidden="false" customHeight="true" outlineLevel="0" collapsed="false">
      <c r="A8" s="13" t="s">
        <v>240</v>
      </c>
      <c r="B8" s="29" t="s">
        <v>241</v>
      </c>
      <c r="C8" s="7" t="s">
        <v>242</v>
      </c>
      <c r="D8" s="8" t="s">
        <v>243</v>
      </c>
      <c r="E8" s="8" t="s">
        <v>244</v>
      </c>
      <c r="F8" s="8" t="s">
        <v>245</v>
      </c>
      <c r="G8" s="15" t="n">
        <v>3</v>
      </c>
      <c r="H8" s="15" t="n">
        <v>3</v>
      </c>
      <c r="I8" s="13" t="n">
        <f aca="false">G8*H8</f>
        <v>9</v>
      </c>
      <c r="J8" s="13" t="str">
        <f aca="false">IF(I8&gt;=6,"Critical",IF(I8&gt;=4,"High",IF(I8&gt;=2,"Medium","Low")))</f>
        <v>Critical</v>
      </c>
      <c r="K8" s="15" t="s">
        <v>226</v>
      </c>
      <c r="L8" s="8" t="s">
        <v>246</v>
      </c>
    </row>
    <row r="9" customFormat="false" ht="45.75" hidden="false" customHeight="true" outlineLevel="0" collapsed="false">
      <c r="A9" s="13" t="s">
        <v>247</v>
      </c>
      <c r="B9" s="29" t="s">
        <v>241</v>
      </c>
      <c r="C9" s="7" t="s">
        <v>248</v>
      </c>
      <c r="D9" s="8" t="s">
        <v>249</v>
      </c>
      <c r="E9" s="8" t="s">
        <v>250</v>
      </c>
      <c r="F9" s="8" t="s">
        <v>245</v>
      </c>
      <c r="G9" s="15" t="n">
        <v>3</v>
      </c>
      <c r="H9" s="15" t="n">
        <v>2</v>
      </c>
      <c r="I9" s="13" t="n">
        <f aca="false">G9*H9</f>
        <v>6</v>
      </c>
      <c r="J9" s="13" t="str">
        <f aca="false">IF(I9&gt;=6,"Critical",IF(I9&gt;=4,"High",IF(I9&gt;=2,"Medium","Low")))</f>
        <v>Critical</v>
      </c>
      <c r="K9" s="15" t="s">
        <v>226</v>
      </c>
      <c r="L9" s="8" t="s">
        <v>251</v>
      </c>
    </row>
    <row r="10" customFormat="false" ht="45.75" hidden="false" customHeight="true" outlineLevel="0" collapsed="false">
      <c r="A10" s="13" t="s">
        <v>252</v>
      </c>
      <c r="B10" s="29" t="s">
        <v>241</v>
      </c>
      <c r="C10" s="7" t="s">
        <v>253</v>
      </c>
      <c r="D10" s="8" t="s">
        <v>254</v>
      </c>
      <c r="E10" s="8" t="s">
        <v>255</v>
      </c>
      <c r="F10" s="8" t="s">
        <v>256</v>
      </c>
      <c r="G10" s="15" t="n">
        <v>3</v>
      </c>
      <c r="H10" s="15" t="n">
        <v>3</v>
      </c>
      <c r="I10" s="13" t="n">
        <f aca="false">G10*H10</f>
        <v>9</v>
      </c>
      <c r="J10" s="13" t="str">
        <f aca="false">IF(I10&gt;=6,"Critical",IF(I10&gt;=4,"High",IF(I10&gt;=2,"Medium","Low")))</f>
        <v>Critical</v>
      </c>
      <c r="K10" s="15" t="s">
        <v>226</v>
      </c>
      <c r="L10" s="8" t="s">
        <v>257</v>
      </c>
    </row>
    <row r="11" customFormat="false" ht="45.75" hidden="false" customHeight="true" outlineLevel="0" collapsed="false">
      <c r="A11" s="13" t="s">
        <v>258</v>
      </c>
      <c r="B11" s="29" t="s">
        <v>241</v>
      </c>
      <c r="C11" s="7" t="s">
        <v>259</v>
      </c>
      <c r="D11" s="8" t="s">
        <v>260</v>
      </c>
      <c r="E11" s="8" t="s">
        <v>93</v>
      </c>
      <c r="F11" s="8" t="s">
        <v>261</v>
      </c>
      <c r="G11" s="15" t="n">
        <v>2</v>
      </c>
      <c r="H11" s="15" t="n">
        <v>3</v>
      </c>
      <c r="I11" s="13" t="n">
        <f aca="false">G11*H11</f>
        <v>6</v>
      </c>
      <c r="J11" s="13" t="str">
        <f aca="false">IF(I11&gt;=6,"Critical",IF(I11&gt;=4,"High",IF(I11&gt;=2,"Medium","Low")))</f>
        <v>Critical</v>
      </c>
      <c r="K11" s="15" t="s">
        <v>226</v>
      </c>
      <c r="L11" s="8" t="s">
        <v>262</v>
      </c>
    </row>
    <row r="12" customFormat="false" ht="45.75" hidden="false" customHeight="true" outlineLevel="0" collapsed="false">
      <c r="A12" s="13" t="s">
        <v>263</v>
      </c>
      <c r="B12" s="29" t="s">
        <v>241</v>
      </c>
      <c r="C12" s="7" t="s">
        <v>264</v>
      </c>
      <c r="D12" s="8" t="s">
        <v>265</v>
      </c>
      <c r="E12" s="8" t="s">
        <v>266</v>
      </c>
      <c r="F12" s="8" t="s">
        <v>203</v>
      </c>
      <c r="G12" s="15" t="n">
        <v>2</v>
      </c>
      <c r="H12" s="15" t="n">
        <v>2</v>
      </c>
      <c r="I12" s="13" t="n">
        <f aca="false">G12*H12</f>
        <v>4</v>
      </c>
      <c r="J12" s="13" t="str">
        <f aca="false">IF(I12&gt;=6,"Critical",IF(I12&gt;=4,"High",IF(I12&gt;=2,"Medium","Low")))</f>
        <v>High</v>
      </c>
      <c r="K12" s="15" t="s">
        <v>226</v>
      </c>
      <c r="L12" s="8" t="s">
        <v>267</v>
      </c>
    </row>
    <row r="13" customFormat="false" ht="45.75" hidden="false" customHeight="true" outlineLevel="0" collapsed="false">
      <c r="A13" s="13" t="s">
        <v>268</v>
      </c>
      <c r="B13" s="29" t="s">
        <v>241</v>
      </c>
      <c r="C13" s="7" t="s">
        <v>269</v>
      </c>
      <c r="D13" s="8" t="s">
        <v>270</v>
      </c>
      <c r="E13" s="8" t="s">
        <v>129</v>
      </c>
      <c r="F13" s="8" t="s">
        <v>175</v>
      </c>
      <c r="G13" s="15" t="n">
        <v>2</v>
      </c>
      <c r="H13" s="15" t="n">
        <v>2</v>
      </c>
      <c r="I13" s="13" t="n">
        <f aca="false">G13*H13</f>
        <v>4</v>
      </c>
      <c r="J13" s="13" t="str">
        <f aca="false">IF(I13&gt;=6,"Critical",IF(I13&gt;=4,"High",IF(I13&gt;=2,"Medium","Low")))</f>
        <v>High</v>
      </c>
      <c r="K13" s="15" t="s">
        <v>271</v>
      </c>
      <c r="L13" s="8" t="s">
        <v>272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7" min="7" style="0" width="38"/>
  </cols>
  <sheetData>
    <row r="1" customFormat="false" ht="33.75" hidden="false" customHeight="true" outlineLevel="0" collapsed="false">
      <c r="A1" s="1" t="s">
        <v>273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274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6" t="s">
        <v>61</v>
      </c>
      <c r="B4" s="6" t="s">
        <v>275</v>
      </c>
      <c r="C4" s="6" t="s">
        <v>276</v>
      </c>
      <c r="D4" s="6" t="s">
        <v>277</v>
      </c>
      <c r="E4" s="6" t="s">
        <v>69</v>
      </c>
      <c r="F4" s="6" t="s">
        <v>65</v>
      </c>
      <c r="G4" s="6" t="s">
        <v>278</v>
      </c>
    </row>
    <row r="5" customFormat="false" ht="39.75" hidden="false" customHeight="true" outlineLevel="0" collapsed="false">
      <c r="A5" s="13" t="s">
        <v>279</v>
      </c>
      <c r="B5" s="7" t="s">
        <v>280</v>
      </c>
      <c r="C5" s="8" t="s">
        <v>281</v>
      </c>
      <c r="D5" s="8" t="s">
        <v>282</v>
      </c>
      <c r="E5" s="30" t="s">
        <v>79</v>
      </c>
      <c r="F5" s="15" t="s">
        <v>226</v>
      </c>
      <c r="G5" s="8" t="s">
        <v>283</v>
      </c>
    </row>
    <row r="6" customFormat="false" ht="39.75" hidden="false" customHeight="true" outlineLevel="0" collapsed="false">
      <c r="A6" s="13" t="s">
        <v>284</v>
      </c>
      <c r="B6" s="7" t="s">
        <v>285</v>
      </c>
      <c r="C6" s="8" t="s">
        <v>286</v>
      </c>
      <c r="D6" s="8" t="s">
        <v>9</v>
      </c>
      <c r="E6" s="30" t="s">
        <v>79</v>
      </c>
      <c r="F6" s="15" t="s">
        <v>226</v>
      </c>
      <c r="G6" s="8" t="s">
        <v>287</v>
      </c>
    </row>
    <row r="7" customFormat="false" ht="39.75" hidden="false" customHeight="true" outlineLevel="0" collapsed="false">
      <c r="A7" s="13" t="s">
        <v>288</v>
      </c>
      <c r="B7" s="7" t="s">
        <v>289</v>
      </c>
      <c r="C7" s="8" t="s">
        <v>290</v>
      </c>
      <c r="D7" s="8" t="s">
        <v>256</v>
      </c>
      <c r="E7" s="30" t="s">
        <v>79</v>
      </c>
      <c r="F7" s="15" t="s">
        <v>226</v>
      </c>
      <c r="G7" s="8" t="s">
        <v>291</v>
      </c>
    </row>
    <row r="8" customFormat="false" ht="39.75" hidden="false" customHeight="true" outlineLevel="0" collapsed="false">
      <c r="A8" s="13" t="s">
        <v>292</v>
      </c>
      <c r="B8" s="7" t="s">
        <v>293</v>
      </c>
      <c r="C8" s="8" t="s">
        <v>294</v>
      </c>
      <c r="D8" s="8" t="s">
        <v>295</v>
      </c>
      <c r="E8" s="30" t="s">
        <v>79</v>
      </c>
      <c r="F8" s="15" t="s">
        <v>226</v>
      </c>
      <c r="G8" s="8" t="s">
        <v>296</v>
      </c>
    </row>
    <row r="9" customFormat="false" ht="39.75" hidden="false" customHeight="true" outlineLevel="0" collapsed="false">
      <c r="A9" s="13" t="s">
        <v>297</v>
      </c>
      <c r="B9" s="7" t="s">
        <v>298</v>
      </c>
      <c r="C9" s="8" t="s">
        <v>299</v>
      </c>
      <c r="D9" s="8" t="s">
        <v>300</v>
      </c>
      <c r="E9" s="30" t="s">
        <v>79</v>
      </c>
      <c r="F9" s="15" t="s">
        <v>226</v>
      </c>
      <c r="G9" s="8" t="s">
        <v>301</v>
      </c>
    </row>
    <row r="10" customFormat="false" ht="39.75" hidden="false" customHeight="true" outlineLevel="0" collapsed="false">
      <c r="A10" s="13" t="s">
        <v>302</v>
      </c>
      <c r="B10" s="7" t="s">
        <v>303</v>
      </c>
      <c r="C10" s="8" t="s">
        <v>304</v>
      </c>
      <c r="D10" s="8" t="s">
        <v>305</v>
      </c>
      <c r="E10" s="29" t="s">
        <v>95</v>
      </c>
      <c r="F10" s="15" t="s">
        <v>226</v>
      </c>
      <c r="G10" s="8" t="s">
        <v>306</v>
      </c>
    </row>
    <row r="11" customFormat="false" ht="39.75" hidden="false" customHeight="true" outlineLevel="0" collapsed="false">
      <c r="A11" s="13" t="s">
        <v>307</v>
      </c>
      <c r="B11" s="7" t="s">
        <v>308</v>
      </c>
      <c r="C11" s="8" t="s">
        <v>309</v>
      </c>
      <c r="D11" s="8" t="s">
        <v>9</v>
      </c>
      <c r="E11" s="29" t="s">
        <v>95</v>
      </c>
      <c r="F11" s="15" t="s">
        <v>226</v>
      </c>
      <c r="G11" s="8" t="s">
        <v>310</v>
      </c>
    </row>
    <row r="12" customFormat="false" ht="39.75" hidden="false" customHeight="true" outlineLevel="0" collapsed="false">
      <c r="A12" s="13" t="s">
        <v>311</v>
      </c>
      <c r="B12" s="7" t="s">
        <v>312</v>
      </c>
      <c r="C12" s="8" t="s">
        <v>313</v>
      </c>
      <c r="D12" s="8" t="s">
        <v>305</v>
      </c>
      <c r="E12" s="29" t="s">
        <v>95</v>
      </c>
      <c r="F12" s="15" t="s">
        <v>226</v>
      </c>
      <c r="G12" s="8" t="s">
        <v>314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30"/>
  </cols>
  <sheetData>
    <row r="1" customFormat="false" ht="33.75" hidden="false" customHeight="true" outlineLevel="0" collapsed="false">
      <c r="A1" s="1" t="s">
        <v>56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315</v>
      </c>
      <c r="B2" s="2"/>
      <c r="C2" s="2"/>
      <c r="D2" s="2"/>
      <c r="E2" s="2"/>
      <c r="F2" s="2"/>
    </row>
    <row r="4" customFormat="false" ht="15" hidden="false" customHeight="false" outlineLevel="0" collapsed="false">
      <c r="B4" s="3" t="s">
        <v>316</v>
      </c>
    </row>
    <row r="5" customFormat="false" ht="30" hidden="false" customHeight="true" outlineLevel="0" collapsed="false">
      <c r="B5" s="6" t="s">
        <v>65</v>
      </c>
      <c r="C5" s="6" t="s">
        <v>317</v>
      </c>
    </row>
    <row r="6" customFormat="false" ht="15" hidden="false" customHeight="false" outlineLevel="0" collapsed="false">
      <c r="B6" s="31" t="s">
        <v>145</v>
      </c>
      <c r="C6" s="13" t="n">
        <f aca="false">COUNTIF('Project Plan'!E:E,"Not started")</f>
        <v>1</v>
      </c>
    </row>
    <row r="7" customFormat="false" ht="15" hidden="false" customHeight="false" outlineLevel="0" collapsed="false">
      <c r="B7" s="32" t="s">
        <v>77</v>
      </c>
      <c r="C7" s="13" t="n">
        <f aca="false">COUNTIF('Project Plan'!E:E,"Needs definition")</f>
        <v>3</v>
      </c>
    </row>
    <row r="8" customFormat="false" ht="15" hidden="false" customHeight="false" outlineLevel="0" collapsed="false">
      <c r="B8" s="9" t="s">
        <v>89</v>
      </c>
      <c r="C8" s="13" t="n">
        <f aca="false">COUNTIF('Project Plan'!E:E,"In progress")</f>
        <v>4</v>
      </c>
    </row>
    <row r="9" customFormat="false" ht="15" hidden="false" customHeight="false" outlineLevel="0" collapsed="false">
      <c r="B9" s="33" t="s">
        <v>141</v>
      </c>
      <c r="C9" s="13" t="n">
        <f aca="false">COUNTIF('Project Plan'!E:E,"Ready to deploy")</f>
        <v>1</v>
      </c>
    </row>
    <row r="10" customFormat="false" ht="15" hidden="false" customHeight="false" outlineLevel="0" collapsed="false">
      <c r="B10" s="34" t="s">
        <v>124</v>
      </c>
      <c r="C10" s="13" t="n">
        <f aca="false">COUNTIF('Project Plan'!E:E,"Blocked")</f>
        <v>2</v>
      </c>
    </row>
    <row r="11" customFormat="false" ht="15" hidden="false" customHeight="false" outlineLevel="0" collapsed="false">
      <c r="B11" s="35" t="s">
        <v>106</v>
      </c>
      <c r="C11" s="13" t="n">
        <f aca="false">COUNTIF('Project Plan'!E:E,"Done")</f>
        <v>5</v>
      </c>
    </row>
    <row r="12" customFormat="false" ht="15" hidden="false" customHeight="false" outlineLevel="0" collapsed="false">
      <c r="B12" s="7" t="s">
        <v>318</v>
      </c>
      <c r="C12" s="13" t="n">
        <f aca="false">COUNTA('Project Plan'!A5:A20)-COUNTIF('Project Plan'!E:E,"Done")</f>
        <v>11</v>
      </c>
    </row>
    <row r="14" customFormat="false" ht="15" hidden="false" customHeight="false" outlineLevel="0" collapsed="false">
      <c r="B14" s="3" t="s">
        <v>319</v>
      </c>
    </row>
    <row r="15" customFormat="false" ht="30" hidden="false" customHeight="true" outlineLevel="0" collapsed="false">
      <c r="B15" s="6" t="s">
        <v>218</v>
      </c>
      <c r="C15" s="6" t="s">
        <v>317</v>
      </c>
    </row>
    <row r="16" customFormat="false" ht="15" hidden="false" customHeight="false" outlineLevel="0" collapsed="false">
      <c r="B16" s="34" t="s">
        <v>320</v>
      </c>
      <c r="C16" s="13" t="n">
        <f aca="false">COUNTIF('Risks &amp; Blockers'!J:J,"Critical")</f>
        <v>7</v>
      </c>
    </row>
    <row r="17" customFormat="false" ht="15" hidden="false" customHeight="false" outlineLevel="0" collapsed="false">
      <c r="B17" s="32" t="s">
        <v>321</v>
      </c>
      <c r="C17" s="13" t="n">
        <f aca="false">COUNTIF('Risks &amp; Blockers'!J:J,"High")</f>
        <v>2</v>
      </c>
    </row>
    <row r="18" customFormat="false" ht="15" hidden="false" customHeight="false" outlineLevel="0" collapsed="false">
      <c r="B18" s="9" t="s">
        <v>322</v>
      </c>
      <c r="C18" s="13" t="n">
        <f aca="false">COUNTIF('Risks &amp; Blockers'!J:J,"Medium")</f>
        <v>0</v>
      </c>
    </row>
    <row r="19" customFormat="false" ht="15" hidden="false" customHeight="false" outlineLevel="0" collapsed="false">
      <c r="B19" s="35" t="s">
        <v>323</v>
      </c>
      <c r="C19" s="13" t="n">
        <f aca="false">COUNTIF('Risks &amp; Blockers'!J:J,"Low")</f>
        <v>0</v>
      </c>
    </row>
    <row r="20" customFormat="false" ht="15" hidden="false" customHeight="false" outlineLevel="0" collapsed="false">
      <c r="B20" s="7" t="s">
        <v>324</v>
      </c>
      <c r="C20" s="13" t="n">
        <f aca="false">COUNTIF('Risks &amp; Blockers'!B:B,"Blocker")</f>
        <v>2</v>
      </c>
    </row>
    <row r="22" customFormat="false" ht="15" hidden="false" customHeight="false" outlineLevel="0" collapsed="false">
      <c r="B22" s="3" t="s">
        <v>325</v>
      </c>
    </row>
    <row r="23" customFormat="false" ht="15" hidden="false" customHeight="false" outlineLevel="0" collapsed="false">
      <c r="B23" s="8" t="s">
        <v>326</v>
      </c>
      <c r="C23" s="13" t="n">
        <f aca="false">COUNTIF('Decisions Needed'!F:F,"Open")</f>
        <v>8</v>
      </c>
    </row>
    <row r="24" customFormat="false" ht="15" hidden="false" customHeight="false" outlineLevel="0" collapsed="false">
      <c r="B24" s="8" t="s">
        <v>327</v>
      </c>
      <c r="C24" s="13" t="n">
        <f aca="false">COUNTIFS('Decisions Needed'!F:F,"Open",'Decisions Needed'!E:E,"NOW")</f>
        <v>5</v>
      </c>
    </row>
    <row r="26" customFormat="false" ht="26.85" hidden="false" customHeight="false" outlineLevel="0" collapsed="false">
      <c r="B26" s="3" t="s">
        <v>328</v>
      </c>
    </row>
    <row r="27" customFormat="false" ht="15" hidden="false" customHeight="true" outlineLevel="0" collapsed="false">
      <c r="B27" s="36" t="s">
        <v>329</v>
      </c>
      <c r="C27" s="36"/>
      <c r="D27" s="36"/>
      <c r="E27" s="36"/>
      <c r="F27" s="36"/>
    </row>
    <row r="28" customFormat="false" ht="15" hidden="false" customHeight="true" outlineLevel="0" collapsed="false">
      <c r="B28" s="36" t="s">
        <v>330</v>
      </c>
      <c r="C28" s="36"/>
      <c r="D28" s="36"/>
      <c r="E28" s="36"/>
      <c r="F28" s="36"/>
    </row>
    <row r="29" customFormat="false" ht="15" hidden="false" customHeight="true" outlineLevel="0" collapsed="false">
      <c r="B29" s="36" t="s">
        <v>331</v>
      </c>
      <c r="C29" s="36"/>
      <c r="D29" s="36"/>
      <c r="E29" s="36"/>
      <c r="F29" s="36"/>
    </row>
    <row r="30" customFormat="false" ht="15" hidden="false" customHeight="true" outlineLevel="0" collapsed="false">
      <c r="B30" s="36" t="s">
        <v>332</v>
      </c>
      <c r="C30" s="36"/>
      <c r="D30" s="36"/>
      <c r="E30" s="36"/>
      <c r="F30" s="36"/>
    </row>
  </sheetData>
  <mergeCells count="6">
    <mergeCell ref="A1:F1"/>
    <mergeCell ref="A2:F2"/>
    <mergeCell ref="B27:F27"/>
    <mergeCell ref="B28:F28"/>
    <mergeCell ref="B29:F29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2026-06-23T19:27:58Z</dcterms:created>
  <dc:creator>openpyxl</dc:creator>
  <dc:description/>
  <dc:language>en-US</dc:language>
  <cp:lastModifiedBy/>
  <dcterms:modified xsi:type="dcterms:W3CDTF">2026-06-23T19:27:58Z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